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lobal_li_batt_recuc_stratgy\"/>
    </mc:Choice>
  </mc:AlternateContent>
  <xr:revisionPtr revIDLastSave="0" documentId="13_ncr:1_{E625FEF4-7C83-4333-869C-3D701267C1F1}" xr6:coauthVersionLast="47" xr6:coauthVersionMax="47" xr10:uidLastSave="{00000000-0000-0000-0000-000000000000}"/>
  <bookViews>
    <workbookView xWindow="11148" yWindow="-108" windowWidth="15636" windowHeight="14052" xr2:uid="{06EC47BC-89DA-483D-8012-17165FF41ADF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3" l="1"/>
  <c r="C11" i="3"/>
  <c r="B11" i="3"/>
  <c r="A11" i="3"/>
  <c r="F9" i="1"/>
  <c r="E9" i="1"/>
  <c r="F7" i="2"/>
  <c r="G7" i="2"/>
</calcChain>
</file>

<file path=xl/sharedStrings.xml><?xml version="1.0" encoding="utf-8"?>
<sst xmlns="http://schemas.openxmlformats.org/spreadsheetml/2006/main" count="232" uniqueCount="45">
  <si>
    <t>Scrap-2023</t>
  </si>
  <si>
    <t>Scrap-2023</t>
    <phoneticPr fontId="1" type="noConversion"/>
  </si>
  <si>
    <t>Scrap-2033</t>
  </si>
  <si>
    <t>Scrap-2033</t>
    <phoneticPr fontId="1" type="noConversion"/>
  </si>
  <si>
    <t>re-cap-2023</t>
    <phoneticPr fontId="1" type="noConversion"/>
  </si>
  <si>
    <t>re-cap-2033</t>
    <phoneticPr fontId="1" type="noConversion"/>
  </si>
  <si>
    <t>China</t>
  </si>
  <si>
    <t>India</t>
  </si>
  <si>
    <t>Japan</t>
  </si>
  <si>
    <t>Korea</t>
  </si>
  <si>
    <t>Thailand</t>
  </si>
  <si>
    <t>Viet Nam</t>
  </si>
  <si>
    <t>France</t>
  </si>
  <si>
    <t>Germany</t>
  </si>
  <si>
    <t>Hungary</t>
  </si>
  <si>
    <t>Italy</t>
  </si>
  <si>
    <t>Poland</t>
  </si>
  <si>
    <t>Slovakia</t>
  </si>
  <si>
    <t>Spain</t>
  </si>
  <si>
    <t>Sweden</t>
  </si>
  <si>
    <t>United Kingdom</t>
  </si>
  <si>
    <t>Norway</t>
  </si>
  <si>
    <t>Russian Federation</t>
  </si>
  <si>
    <t>Serbia</t>
  </si>
  <si>
    <t>Turkey</t>
  </si>
  <si>
    <t>USA</t>
  </si>
  <si>
    <t>Canada</t>
  </si>
  <si>
    <t>Brazil</t>
  </si>
  <si>
    <t>Australia</t>
  </si>
  <si>
    <t>Czechia</t>
  </si>
  <si>
    <t>Netherlands</t>
  </si>
  <si>
    <t>Belgium</t>
  </si>
  <si>
    <t>Finland</t>
  </si>
  <si>
    <t>Switzerland</t>
  </si>
  <si>
    <t>Romania</t>
  </si>
  <si>
    <t>Country</t>
  </si>
  <si>
    <t>Country</t>
    <phoneticPr fontId="1" type="noConversion"/>
  </si>
  <si>
    <t>Others</t>
    <phoneticPr fontId="1" type="noConversion"/>
  </si>
  <si>
    <t>China</t>
    <phoneticPr fontId="1" type="noConversion"/>
  </si>
  <si>
    <t>Recycling capability (2023)</t>
    <phoneticPr fontId="1" type="noConversion"/>
  </si>
  <si>
    <t>Recycling capability (2033)</t>
    <phoneticPr fontId="1" type="noConversion"/>
  </si>
  <si>
    <t>UK</t>
    <phoneticPr fontId="1" type="noConversion"/>
  </si>
  <si>
    <t>Scrap mass (2033)</t>
    <phoneticPr fontId="1" type="noConversion"/>
  </si>
  <si>
    <t>Scrap mass (2023)</t>
    <phoneticPr fontId="1" type="noConversion"/>
  </si>
  <si>
    <t>World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</si>
</sst>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08836395450569E-2"/>
          <c:y val="0.18759516392458894"/>
          <c:w val="0.87635608048993874"/>
          <c:h val="0.6769253246922665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Sheet1!$E$1:$F$1</c:f>
              <c:strCache>
                <c:ptCount val="2"/>
                <c:pt idx="0">
                  <c:v>Scrap-2023</c:v>
                </c:pt>
                <c:pt idx="1">
                  <c:v>Scrap-2033</c:v>
                </c:pt>
              </c:strCache>
            </c:strRef>
          </c:cat>
          <c:val>
            <c:numRef>
              <c:f>Sheet1!$E$2:$F$2</c:f>
              <c:numCache>
                <c:formatCode>General</c:formatCode>
                <c:ptCount val="2"/>
                <c:pt idx="0">
                  <c:v>0.46344901833892799</c:v>
                </c:pt>
                <c:pt idx="1">
                  <c:v>0.60131216852488134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C-4D6C-8488-6BB5114EA8EA}"/>
            </c:ext>
          </c:extLst>
        </c:ser>
        <c:ser>
          <c:idx val="1"/>
          <c:order val="1"/>
          <c:tx>
            <c:strRef>
              <c:f>Sheet1!$G$3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Sheet1!$E$1:$F$1</c:f>
              <c:strCache>
                <c:ptCount val="2"/>
                <c:pt idx="0">
                  <c:v>Scrap-2023</c:v>
                </c:pt>
                <c:pt idx="1">
                  <c:v>Scrap-2033</c:v>
                </c:pt>
              </c:strCache>
            </c:strRef>
          </c:cat>
          <c:val>
            <c:numRef>
              <c:f>Sheet1!$E$3:$F$3</c:f>
              <c:numCache>
                <c:formatCode>General</c:formatCode>
                <c:ptCount val="2"/>
                <c:pt idx="0">
                  <c:v>0.1741708345303194</c:v>
                </c:pt>
                <c:pt idx="1">
                  <c:v>0.10594285736218788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1C-4D6C-8488-6BB5114EA8EA}"/>
            </c:ext>
          </c:extLst>
        </c:ser>
        <c:ser>
          <c:idx val="2"/>
          <c:order val="2"/>
          <c:tx>
            <c:strRef>
              <c:f>Sheet1!$G$4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Sheet1!$E$1:$F$1</c:f>
              <c:strCache>
                <c:ptCount val="2"/>
                <c:pt idx="0">
                  <c:v>Scrap-2023</c:v>
                </c:pt>
                <c:pt idx="1">
                  <c:v>Scrap-2033</c:v>
                </c:pt>
              </c:strCache>
            </c:strRef>
          </c:cat>
          <c:val>
            <c:numRef>
              <c:f>Sheet1!$E$4:$F$4</c:f>
              <c:numCache>
                <c:formatCode>General</c:formatCode>
                <c:ptCount val="2"/>
                <c:pt idx="0">
                  <c:v>5.9585099952812941E-4</c:v>
                </c:pt>
                <c:pt idx="1">
                  <c:v>0.10252997528599363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1C-4D6C-8488-6BB5114EA8EA}"/>
            </c:ext>
          </c:extLst>
        </c:ser>
        <c:ser>
          <c:idx val="3"/>
          <c:order val="3"/>
          <c:tx>
            <c:strRef>
              <c:f>Sheet1!$G$5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Sheet1!$E$1:$F$1</c:f>
              <c:strCache>
                <c:ptCount val="2"/>
                <c:pt idx="0">
                  <c:v>Scrap-2023</c:v>
                </c:pt>
                <c:pt idx="1">
                  <c:v>Scrap-2033</c:v>
                </c:pt>
              </c:strCache>
            </c:strRef>
          </c:cat>
          <c:val>
            <c:numRef>
              <c:f>Sheet1!$E$5:$F$5</c:f>
              <c:numCache>
                <c:formatCode>General</c:formatCode>
                <c:ptCount val="2"/>
                <c:pt idx="0">
                  <c:v>6.2510416949478287E-2</c:v>
                </c:pt>
                <c:pt idx="1">
                  <c:v>2.2651676457035898E-2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1C-4D6C-8488-6BB5114EA8EA}"/>
            </c:ext>
          </c:extLst>
        </c:ser>
        <c:ser>
          <c:idx val="4"/>
          <c:order val="4"/>
          <c:tx>
            <c:strRef>
              <c:f>Sheet1!$G$6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Sheet1!$E$1:$F$1</c:f>
              <c:strCache>
                <c:ptCount val="2"/>
                <c:pt idx="0">
                  <c:v>Scrap-2023</c:v>
                </c:pt>
                <c:pt idx="1">
                  <c:v>Scrap-2033</c:v>
                </c:pt>
              </c:strCache>
            </c:strRef>
          </c:cat>
          <c:val>
            <c:numRef>
              <c:f>Sheet1!$E$6:$F$6</c:f>
              <c:numCache>
                <c:formatCode>General</c:formatCode>
                <c:ptCount val="2"/>
                <c:pt idx="0">
                  <c:v>4.0533801724166381E-2</c:v>
                </c:pt>
                <c:pt idx="1">
                  <c:v>2.0085719029840042E-2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1C-4D6C-8488-6BB5114EA8EA}"/>
            </c:ext>
          </c:extLst>
        </c:ser>
        <c:ser>
          <c:idx val="5"/>
          <c:order val="5"/>
          <c:tx>
            <c:strRef>
              <c:f>Sheet1!$G$7</c:f>
              <c:strCache>
                <c:ptCount val="1"/>
                <c:pt idx="0">
                  <c:v>Viet Nam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Sheet1!$E$1:$F$1</c:f>
              <c:strCache>
                <c:ptCount val="2"/>
                <c:pt idx="0">
                  <c:v>Scrap-2023</c:v>
                </c:pt>
                <c:pt idx="1">
                  <c:v>Scrap-2033</c:v>
                </c:pt>
              </c:strCache>
            </c:strRef>
          </c:cat>
          <c:val>
            <c:numRef>
              <c:f>Sheet1!$E$7:$F$7</c:f>
              <c:numCache>
                <c:formatCode>General</c:formatCode>
                <c:ptCount val="2"/>
                <c:pt idx="0">
                  <c:v>4.6598662577698804E-2</c:v>
                </c:pt>
                <c:pt idx="1">
                  <c:v>4.6610776656408927E-3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1C-4D6C-8488-6BB5114EA8EA}"/>
            </c:ext>
          </c:extLst>
        </c:ser>
        <c:ser>
          <c:idx val="6"/>
          <c:order val="6"/>
          <c:tx>
            <c:strRef>
              <c:f>Sheet1!$G$8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Sheet1!$E$1:$F$1</c:f>
              <c:strCache>
                <c:ptCount val="2"/>
                <c:pt idx="0">
                  <c:v>Scrap-2023</c:v>
                </c:pt>
                <c:pt idx="1">
                  <c:v>Scrap-2033</c:v>
                </c:pt>
              </c:strCache>
            </c:strRef>
          </c:cat>
          <c:val>
            <c:numRef>
              <c:f>Sheet1!$E$8:$F$8</c:f>
              <c:numCache>
                <c:formatCode>General</c:formatCode>
                <c:ptCount val="2"/>
                <c:pt idx="0">
                  <c:v>2.9768333296484883E-2</c:v>
                </c:pt>
                <c:pt idx="1">
                  <c:v>1.7351383080978947E-2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11C-4D6C-8488-6BB5114EA8EA}"/>
            </c:ext>
          </c:extLst>
        </c:ser>
        <c:ser>
          <c:idx val="7"/>
          <c:order val="7"/>
          <c:tx>
            <c:strRef>
              <c:f>Sheet1!$G$9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Sheet1!$E$1:$F$1</c:f>
              <c:strCache>
                <c:ptCount val="2"/>
                <c:pt idx="0">
                  <c:v>Scrap-2023</c:v>
                </c:pt>
                <c:pt idx="1">
                  <c:v>Scrap-2033</c:v>
                </c:pt>
              </c:strCache>
            </c:strRef>
          </c:cat>
          <c:val>
            <c:numRef>
              <c:f>Sheet1!$E$9:$F$9</c:f>
              <c:numCache>
                <c:formatCode>General</c:formatCode>
                <c:ptCount val="2"/>
                <c:pt idx="0">
                  <c:v>0.18237308158339605</c:v>
                </c:pt>
                <c:pt idx="1">
                  <c:v>0.12546514259344133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1C-4D6C-8488-6BB5114EA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8612896"/>
        <c:axId val="718612480"/>
      </c:barChart>
      <c:catAx>
        <c:axId val="71861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718612480"/>
        <c:crosses val="autoZero"/>
        <c:auto val="1"/>
        <c:lblAlgn val="ctr"/>
        <c:lblOffset val="100"/>
        <c:noMultiLvlLbl val="0"/>
      </c:catAx>
      <c:valAx>
        <c:axId val="718612480"/>
        <c:scaling>
          <c:orientation val="minMax"/>
          <c:max val="1"/>
        </c:scaling>
        <c:delete val="0"/>
        <c:axPos val="l"/>
        <c:majorGridlines>
          <c:spPr>
            <a:ln w="158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718612896"/>
        <c:crosses val="autoZero"/>
        <c:crossBetween val="between"/>
        <c:majorUnit val="0.2"/>
      </c:valAx>
      <c:spPr>
        <a:noFill/>
        <a:ln w="15875"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6106926028185866E-2"/>
          <c:y val="2.463904238610333E-2"/>
          <c:w val="0.84857801865675886"/>
          <c:h val="0.12807590154610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Sheet3!$E$2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Sheet3!$A$1:$D$1</c:f>
              <c:strCache>
                <c:ptCount val="4"/>
                <c:pt idx="0">
                  <c:v>Scrap mass (2023)</c:v>
                </c:pt>
                <c:pt idx="1">
                  <c:v>Scrap mass (2033)</c:v>
                </c:pt>
                <c:pt idx="2">
                  <c:v>Recycling capability (2023)</c:v>
                </c:pt>
                <c:pt idx="3">
                  <c:v>Recycling capability (2033)</c:v>
                </c:pt>
              </c:strCache>
            </c:strRef>
          </c:cat>
          <c:val>
            <c:numRef>
              <c:f>Sheet3!$A$2:$D$2</c:f>
              <c:numCache>
                <c:formatCode>General</c:formatCode>
                <c:ptCount val="4"/>
                <c:pt idx="0">
                  <c:v>0.46344901833892799</c:v>
                </c:pt>
                <c:pt idx="1">
                  <c:v>0.60131216852488134</c:v>
                </c:pt>
                <c:pt idx="2">
                  <c:v>0.80284421460892053</c:v>
                </c:pt>
                <c:pt idx="3">
                  <c:v>0.62015133955961566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F-4762-9706-3C6E21321A96}"/>
            </c:ext>
          </c:extLst>
        </c:ser>
        <c:ser>
          <c:idx val="1"/>
          <c:order val="1"/>
          <c:tx>
            <c:strRef>
              <c:f>Sheet3!$E$3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Sheet3!$A$1:$D$1</c:f>
              <c:strCache>
                <c:ptCount val="4"/>
                <c:pt idx="0">
                  <c:v>Scrap mass (2023)</c:v>
                </c:pt>
                <c:pt idx="1">
                  <c:v>Scrap mass (2033)</c:v>
                </c:pt>
                <c:pt idx="2">
                  <c:v>Recycling capability (2023)</c:v>
                </c:pt>
                <c:pt idx="3">
                  <c:v>Recycling capability (2033)</c:v>
                </c:pt>
              </c:strCache>
            </c:strRef>
          </c:cat>
          <c:val>
            <c:numRef>
              <c:f>Sheet3!$A$3:$D$3</c:f>
              <c:numCache>
                <c:formatCode>General</c:formatCode>
                <c:ptCount val="4"/>
                <c:pt idx="0">
                  <c:v>0.1741708345303194</c:v>
                </c:pt>
                <c:pt idx="1">
                  <c:v>0.10594285736218788</c:v>
                </c:pt>
                <c:pt idx="2">
                  <c:v>2.4563671622495151E-2</c:v>
                </c:pt>
                <c:pt idx="3">
                  <c:v>5.0310177926239014E-2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F-4762-9706-3C6E21321A96}"/>
            </c:ext>
          </c:extLst>
        </c:ser>
        <c:ser>
          <c:idx val="2"/>
          <c:order val="2"/>
          <c:tx>
            <c:strRef>
              <c:f>Sheet3!$E$4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Sheet3!$A$1:$D$1</c:f>
              <c:strCache>
                <c:ptCount val="4"/>
                <c:pt idx="0">
                  <c:v>Scrap mass (2023)</c:v>
                </c:pt>
                <c:pt idx="1">
                  <c:v>Scrap mass (2033)</c:v>
                </c:pt>
                <c:pt idx="2">
                  <c:v>Recycling capability (2023)</c:v>
                </c:pt>
                <c:pt idx="3">
                  <c:v>Recycling capability (2033)</c:v>
                </c:pt>
              </c:strCache>
            </c:strRef>
          </c:cat>
          <c:val>
            <c:numRef>
              <c:f>Sheet3!$A$4:$D$4</c:f>
              <c:numCache>
                <c:formatCode>General</c:formatCode>
                <c:ptCount val="4"/>
                <c:pt idx="0">
                  <c:v>5.9585099952812941E-4</c:v>
                </c:pt>
                <c:pt idx="1">
                  <c:v>0.10252997528599363</c:v>
                </c:pt>
                <c:pt idx="2">
                  <c:v>0</c:v>
                </c:pt>
                <c:pt idx="3">
                  <c:v>6.8170972799781856E-4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8F-4762-9706-3C6E21321A96}"/>
            </c:ext>
          </c:extLst>
        </c:ser>
        <c:ser>
          <c:idx val="3"/>
          <c:order val="3"/>
          <c:tx>
            <c:strRef>
              <c:f>Sheet3!$E$5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Sheet3!$A$1:$D$1</c:f>
              <c:strCache>
                <c:ptCount val="4"/>
                <c:pt idx="0">
                  <c:v>Scrap mass (2023)</c:v>
                </c:pt>
                <c:pt idx="1">
                  <c:v>Scrap mass (2033)</c:v>
                </c:pt>
                <c:pt idx="2">
                  <c:v>Recycling capability (2023)</c:v>
                </c:pt>
                <c:pt idx="3">
                  <c:v>Recycling capability (2033)</c:v>
                </c:pt>
              </c:strCache>
            </c:strRef>
          </c:cat>
          <c:val>
            <c:numRef>
              <c:f>Sheet3!$A$5:$D$5</c:f>
              <c:numCache>
                <c:formatCode>General</c:formatCode>
                <c:ptCount val="4"/>
                <c:pt idx="0">
                  <c:v>6.2510416949478287E-2</c:v>
                </c:pt>
                <c:pt idx="1">
                  <c:v>2.2651676457035898E-2</c:v>
                </c:pt>
                <c:pt idx="2">
                  <c:v>2.6179702650290886E-2</c:v>
                </c:pt>
                <c:pt idx="3">
                  <c:v>1.3566023587156589E-2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8F-4762-9706-3C6E21321A96}"/>
            </c:ext>
          </c:extLst>
        </c:ser>
        <c:ser>
          <c:idx val="4"/>
          <c:order val="4"/>
          <c:tx>
            <c:strRef>
              <c:f>Sheet3!$E$6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Sheet3!$A$1:$D$1</c:f>
              <c:strCache>
                <c:ptCount val="4"/>
                <c:pt idx="0">
                  <c:v>Scrap mass (2023)</c:v>
                </c:pt>
                <c:pt idx="1">
                  <c:v>Scrap mass (2033)</c:v>
                </c:pt>
                <c:pt idx="2">
                  <c:v>Recycling capability (2023)</c:v>
                </c:pt>
                <c:pt idx="3">
                  <c:v>Recycling capability (2033)</c:v>
                </c:pt>
              </c:strCache>
            </c:strRef>
          </c:cat>
          <c:val>
            <c:numRef>
              <c:f>Sheet3!$A$6:$D$6</c:f>
              <c:numCache>
                <c:formatCode>General</c:formatCode>
                <c:ptCount val="4"/>
                <c:pt idx="0">
                  <c:v>4.0533801724166381E-2</c:v>
                </c:pt>
                <c:pt idx="1">
                  <c:v>2.0085719029840042E-2</c:v>
                </c:pt>
                <c:pt idx="2">
                  <c:v>2.9088558500323207E-3</c:v>
                </c:pt>
                <c:pt idx="3">
                  <c:v>6.8852682527779678E-3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8F-4762-9706-3C6E21321A96}"/>
            </c:ext>
          </c:extLst>
        </c:ser>
        <c:ser>
          <c:idx val="5"/>
          <c:order val="5"/>
          <c:tx>
            <c:strRef>
              <c:f>Sheet3!$E$7</c:f>
              <c:strCache>
                <c:ptCount val="1"/>
                <c:pt idx="0">
                  <c:v>Viet Nam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Sheet3!$A$1:$D$1</c:f>
              <c:strCache>
                <c:ptCount val="4"/>
                <c:pt idx="0">
                  <c:v>Scrap mass (2023)</c:v>
                </c:pt>
                <c:pt idx="1">
                  <c:v>Scrap mass (2033)</c:v>
                </c:pt>
                <c:pt idx="2">
                  <c:v>Recycling capability (2023)</c:v>
                </c:pt>
                <c:pt idx="3">
                  <c:v>Recycling capability (2033)</c:v>
                </c:pt>
              </c:strCache>
            </c:strRef>
          </c:cat>
          <c:val>
            <c:numRef>
              <c:f>Sheet3!$A$7:$D$7</c:f>
              <c:numCache>
                <c:formatCode>General</c:formatCode>
                <c:ptCount val="4"/>
                <c:pt idx="0">
                  <c:v>4.6598662577698804E-2</c:v>
                </c:pt>
                <c:pt idx="1">
                  <c:v>4.6610776656408927E-3</c:v>
                </c:pt>
                <c:pt idx="2">
                  <c:v>9.6961861667744023E-4</c:v>
                </c:pt>
                <c:pt idx="3">
                  <c:v>4.0902583679869114E-4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8F-4762-9706-3C6E21321A96}"/>
            </c:ext>
          </c:extLst>
        </c:ser>
        <c:ser>
          <c:idx val="6"/>
          <c:order val="6"/>
          <c:tx>
            <c:strRef>
              <c:f>Sheet3!$E$8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Sheet3!$A$1:$D$1</c:f>
              <c:strCache>
                <c:ptCount val="4"/>
                <c:pt idx="0">
                  <c:v>Scrap mass (2023)</c:v>
                </c:pt>
                <c:pt idx="1">
                  <c:v>Scrap mass (2033)</c:v>
                </c:pt>
                <c:pt idx="2">
                  <c:v>Recycling capability (2023)</c:v>
                </c:pt>
                <c:pt idx="3">
                  <c:v>Recycling capability (2033)</c:v>
                </c:pt>
              </c:strCache>
            </c:strRef>
          </c:cat>
          <c:val>
            <c:numRef>
              <c:f>Sheet3!$A$8:$D$8</c:f>
              <c:numCache>
                <c:formatCode>General</c:formatCode>
                <c:ptCount val="4"/>
                <c:pt idx="0">
                  <c:v>2.9768333296484883E-2</c:v>
                </c:pt>
                <c:pt idx="1">
                  <c:v>1.7351383080978947E-2</c:v>
                </c:pt>
                <c:pt idx="2">
                  <c:v>3.5552682611506145E-3</c:v>
                </c:pt>
                <c:pt idx="3">
                  <c:v>1.1929920239961825E-2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8F-4762-9706-3C6E21321A96}"/>
            </c:ext>
          </c:extLst>
        </c:ser>
        <c:ser>
          <c:idx val="7"/>
          <c:order val="7"/>
          <c:tx>
            <c:strRef>
              <c:f>Sheet3!$E$9</c:f>
              <c:strCache>
                <c:ptCount val="1"/>
                <c:pt idx="0">
                  <c:v>Korea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Sheet3!$A$1:$D$1</c:f>
              <c:strCache>
                <c:ptCount val="4"/>
                <c:pt idx="0">
                  <c:v>Scrap mass (2023)</c:v>
                </c:pt>
                <c:pt idx="1">
                  <c:v>Scrap mass (2033)</c:v>
                </c:pt>
                <c:pt idx="2">
                  <c:v>Recycling capability (2023)</c:v>
                </c:pt>
                <c:pt idx="3">
                  <c:v>Recycling capability (2033)</c:v>
                </c:pt>
              </c:strCache>
            </c:strRef>
          </c:cat>
          <c:val>
            <c:numRef>
              <c:f>Sheet3!$A$9:$D$9</c:f>
              <c:numCache>
                <c:formatCode>General</c:formatCode>
                <c:ptCount val="4"/>
                <c:pt idx="0">
                  <c:v>1.1713685046604546E-2</c:v>
                </c:pt>
                <c:pt idx="1">
                  <c:v>1.1856859099706532E-2</c:v>
                </c:pt>
                <c:pt idx="2">
                  <c:v>3.4259857789269557E-2</c:v>
                </c:pt>
                <c:pt idx="3">
                  <c:v>0.14050037494035042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8F-4762-9706-3C6E21321A96}"/>
            </c:ext>
          </c:extLst>
        </c:ser>
        <c:ser>
          <c:idx val="8"/>
          <c:order val="8"/>
          <c:tx>
            <c:strRef>
              <c:f>Sheet3!$E$10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Sheet3!$A$1:$D$1</c:f>
              <c:strCache>
                <c:ptCount val="4"/>
                <c:pt idx="0">
                  <c:v>Scrap mass (2023)</c:v>
                </c:pt>
                <c:pt idx="1">
                  <c:v>Scrap mass (2033)</c:v>
                </c:pt>
                <c:pt idx="2">
                  <c:v>Recycling capability (2023)</c:v>
                </c:pt>
                <c:pt idx="3">
                  <c:v>Recycling capability (2033)</c:v>
                </c:pt>
              </c:strCache>
            </c:strRef>
          </c:cat>
          <c:val>
            <c:numRef>
              <c:f>Sheet3!$A$10:$D$10</c:f>
              <c:numCache>
                <c:formatCode>General</c:formatCode>
                <c:ptCount val="4"/>
                <c:pt idx="0">
                  <c:v>1.6800385274066045E-2</c:v>
                </c:pt>
                <c:pt idx="1">
                  <c:v>2.7028366645996098E-3</c:v>
                </c:pt>
                <c:pt idx="2">
                  <c:v>8.0801551389786692E-3</c:v>
                </c:pt>
                <c:pt idx="3">
                  <c:v>2.4814234099120595E-2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38F-4762-9706-3C6E21321A96}"/>
            </c:ext>
          </c:extLst>
        </c:ser>
        <c:ser>
          <c:idx val="9"/>
          <c:order val="9"/>
          <c:tx>
            <c:strRef>
              <c:f>Sheet3!$E$11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Sheet3!$A$1:$D$1</c:f>
              <c:strCache>
                <c:ptCount val="4"/>
                <c:pt idx="0">
                  <c:v>Scrap mass (2023)</c:v>
                </c:pt>
                <c:pt idx="1">
                  <c:v>Scrap mass (2033)</c:v>
                </c:pt>
                <c:pt idx="2">
                  <c:v>Recycling capability (2023)</c:v>
                </c:pt>
                <c:pt idx="3">
                  <c:v>Recycling capability (2033)</c:v>
                </c:pt>
              </c:strCache>
            </c:strRef>
          </c:cat>
          <c:val>
            <c:numRef>
              <c:f>Sheet3!$A$11:$D$11</c:f>
              <c:numCache>
                <c:formatCode>General</c:formatCode>
                <c:ptCount val="4"/>
                <c:pt idx="0">
                  <c:v>0.1538590112627255</c:v>
                </c:pt>
                <c:pt idx="1">
                  <c:v>0.11090544682913517</c:v>
                </c:pt>
                <c:pt idx="2">
                  <c:v>9.6638655462184864E-2</c:v>
                </c:pt>
                <c:pt idx="3">
                  <c:v>0.13075192582998119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38F-4762-9706-3C6E21321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3811264"/>
        <c:axId val="613802112"/>
      </c:barChart>
      <c:catAx>
        <c:axId val="6138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613802112"/>
        <c:crosses val="autoZero"/>
        <c:auto val="1"/>
        <c:lblAlgn val="ctr"/>
        <c:lblOffset val="100"/>
        <c:noMultiLvlLbl val="0"/>
      </c:catAx>
      <c:valAx>
        <c:axId val="6138021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6138112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19178360046572"/>
          <c:y val="5.4189997083697872E-2"/>
          <c:w val="0.73947230707444411"/>
          <c:h val="0.692274715660542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Sheet3!$E$13</c:f>
              <c:strCache>
                <c:ptCount val="1"/>
                <c:pt idx="0">
                  <c:v>World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Sheet3!$A$1:$D$1</c:f>
              <c:strCache>
                <c:ptCount val="4"/>
                <c:pt idx="0">
                  <c:v>Scrap mass (2023)</c:v>
                </c:pt>
                <c:pt idx="1">
                  <c:v>Scrap mass (2033)</c:v>
                </c:pt>
                <c:pt idx="2">
                  <c:v>Recycling capability (2023)</c:v>
                </c:pt>
                <c:pt idx="3">
                  <c:v>Recycling capability (2033)</c:v>
                </c:pt>
              </c:strCache>
            </c:strRef>
          </c:cat>
          <c:val>
            <c:numRef>
              <c:f>Sheet3!$A$13:$D$13</c:f>
              <c:numCache>
                <c:formatCode>General</c:formatCode>
                <c:ptCount val="4"/>
                <c:pt idx="0">
                  <c:v>16.251755230000001</c:v>
                </c:pt>
                <c:pt idx="1">
                  <c:v>1273.7034920000001</c:v>
                </c:pt>
                <c:pt idx="2">
                  <c:v>309.39999999999998</c:v>
                </c:pt>
                <c:pt idx="3">
                  <c:v>1466.9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E-41A2-9E5E-26B28D6F9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6200208"/>
        <c:axId val="556196880"/>
      </c:barChart>
      <c:catAx>
        <c:axId val="5562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556196880"/>
        <c:crosses val="autoZero"/>
        <c:auto val="1"/>
        <c:lblAlgn val="ctr"/>
        <c:lblOffset val="100"/>
        <c:noMultiLvlLbl val="0"/>
      </c:catAx>
      <c:valAx>
        <c:axId val="556196880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/>
                  <a:t>Mass, </a:t>
                </a:r>
              </a:p>
              <a:p>
                <a:pPr>
                  <a:defRPr/>
                </a:pPr>
                <a:r>
                  <a:rPr lang="en-US" altLang="zh-CN"/>
                  <a:t>Unit: 10,000 metric tons</a:t>
                </a:r>
              </a:p>
            </c:rich>
          </c:tx>
          <c:layout>
            <c:manualLayout>
              <c:xMode val="edge"/>
              <c:yMode val="edge"/>
              <c:x val="4.1215868109222051E-2"/>
              <c:y val="5.602179935841351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556200208"/>
        <c:crosses val="autoZero"/>
        <c:crossBetween val="between"/>
        <c:majorUnit val="400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6099277430959"/>
          <c:y val="0.14386482939632547"/>
          <c:w val="0.8522184228963412"/>
          <c:h val="0.704797038728937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Sheet2!$H$2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Sheet2!$F$1:$G$1</c:f>
              <c:strCache>
                <c:ptCount val="2"/>
                <c:pt idx="0">
                  <c:v>Recycling capability (2023)</c:v>
                </c:pt>
                <c:pt idx="1">
                  <c:v>Recycling capability (2033)</c:v>
                </c:pt>
              </c:strCache>
            </c:strRef>
          </c:cat>
          <c:val>
            <c:numRef>
              <c:f>Sheet2!$F$2:$G$2</c:f>
              <c:numCache>
                <c:formatCode>General</c:formatCode>
                <c:ptCount val="2"/>
                <c:pt idx="0">
                  <c:v>0.80284421460892053</c:v>
                </c:pt>
                <c:pt idx="1">
                  <c:v>0.62015133955961566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D-4062-96DB-B7E5129A89C8}"/>
            </c:ext>
          </c:extLst>
        </c:ser>
        <c:ser>
          <c:idx val="1"/>
          <c:order val="1"/>
          <c:tx>
            <c:strRef>
              <c:f>Sheet2!$H$3</c:f>
              <c:strCache>
                <c:ptCount val="1"/>
                <c:pt idx="0">
                  <c:v>Korea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Sheet2!$F$1:$G$1</c:f>
              <c:strCache>
                <c:ptCount val="2"/>
                <c:pt idx="0">
                  <c:v>Recycling capability (2023)</c:v>
                </c:pt>
                <c:pt idx="1">
                  <c:v>Recycling capability (2033)</c:v>
                </c:pt>
              </c:strCache>
            </c:strRef>
          </c:cat>
          <c:val>
            <c:numRef>
              <c:f>Sheet2!$F$3:$G$3</c:f>
              <c:numCache>
                <c:formatCode>General</c:formatCode>
                <c:ptCount val="2"/>
                <c:pt idx="0">
                  <c:v>3.4259857789269557E-2</c:v>
                </c:pt>
                <c:pt idx="1">
                  <c:v>0.14050037494035042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6D-4062-96DB-B7E5129A89C8}"/>
            </c:ext>
          </c:extLst>
        </c:ser>
        <c:ser>
          <c:idx val="2"/>
          <c:order val="2"/>
          <c:tx>
            <c:strRef>
              <c:f>Sheet2!$H$4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Sheet2!$F$1:$G$1</c:f>
              <c:strCache>
                <c:ptCount val="2"/>
                <c:pt idx="0">
                  <c:v>Recycling capability (2023)</c:v>
                </c:pt>
                <c:pt idx="1">
                  <c:v>Recycling capability (2033)</c:v>
                </c:pt>
              </c:strCache>
            </c:strRef>
          </c:cat>
          <c:val>
            <c:numRef>
              <c:f>Sheet2!$F$4:$G$4</c:f>
              <c:numCache>
                <c:formatCode>General</c:formatCode>
                <c:ptCount val="2"/>
                <c:pt idx="0">
                  <c:v>2.4563671622495151E-2</c:v>
                </c:pt>
                <c:pt idx="1">
                  <c:v>5.0310177926239014E-2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6D-4062-96DB-B7E5129A89C8}"/>
            </c:ext>
          </c:extLst>
        </c:ser>
        <c:ser>
          <c:idx val="3"/>
          <c:order val="3"/>
          <c:tx>
            <c:strRef>
              <c:f>Sheet2!$H$5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Sheet2!$F$1:$G$1</c:f>
              <c:strCache>
                <c:ptCount val="2"/>
                <c:pt idx="0">
                  <c:v>Recycling capability (2023)</c:v>
                </c:pt>
                <c:pt idx="1">
                  <c:v>Recycling capability (2033)</c:v>
                </c:pt>
              </c:strCache>
            </c:strRef>
          </c:cat>
          <c:val>
            <c:numRef>
              <c:f>Sheet2!$F$5:$G$5</c:f>
              <c:numCache>
                <c:formatCode>General</c:formatCode>
                <c:ptCount val="2"/>
                <c:pt idx="0">
                  <c:v>1.1312217194570137E-2</c:v>
                </c:pt>
                <c:pt idx="1">
                  <c:v>4.185697729906606E-2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6D-4062-96DB-B7E5129A89C8}"/>
            </c:ext>
          </c:extLst>
        </c:ser>
        <c:ser>
          <c:idx val="4"/>
          <c:order val="4"/>
          <c:tx>
            <c:strRef>
              <c:f>Sheet2!$H$6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Sheet2!$F$1:$G$1</c:f>
              <c:strCache>
                <c:ptCount val="2"/>
                <c:pt idx="0">
                  <c:v>Recycling capability (2023)</c:v>
                </c:pt>
                <c:pt idx="1">
                  <c:v>Recycling capability (2033)</c:v>
                </c:pt>
              </c:strCache>
            </c:strRef>
          </c:cat>
          <c:val>
            <c:numRef>
              <c:f>Sheet2!$F$6:$G$6</c:f>
              <c:numCache>
                <c:formatCode>General</c:formatCode>
                <c:ptCount val="2"/>
                <c:pt idx="0">
                  <c:v>8.0801551389786692E-3</c:v>
                </c:pt>
                <c:pt idx="1">
                  <c:v>2.4814234099120595E-2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6D-4062-96DB-B7E5129A89C8}"/>
            </c:ext>
          </c:extLst>
        </c:ser>
        <c:ser>
          <c:idx val="5"/>
          <c:order val="5"/>
          <c:tx>
            <c:strRef>
              <c:f>Sheet2!$H$7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Sheet2!$F$1:$G$1</c:f>
              <c:strCache>
                <c:ptCount val="2"/>
                <c:pt idx="0">
                  <c:v>Recycling capability (2023)</c:v>
                </c:pt>
                <c:pt idx="1">
                  <c:v>Recycling capability (2033)</c:v>
                </c:pt>
              </c:strCache>
            </c:strRef>
          </c:cat>
          <c:val>
            <c:numRef>
              <c:f>Sheet2!$F$7:$G$7</c:f>
              <c:numCache>
                <c:formatCode>General</c:formatCode>
                <c:ptCount val="2"/>
                <c:pt idx="0">
                  <c:v>0.11893988364576602</c:v>
                </c:pt>
                <c:pt idx="1">
                  <c:v>0.12236689617560825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6D-4062-96DB-B7E5129A8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0906016"/>
        <c:axId val="690902688"/>
      </c:barChart>
      <c:catAx>
        <c:axId val="69090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690902688"/>
        <c:crosses val="autoZero"/>
        <c:auto val="1"/>
        <c:lblAlgn val="ctr"/>
        <c:lblOffset val="100"/>
        <c:noMultiLvlLbl val="0"/>
      </c:catAx>
      <c:valAx>
        <c:axId val="6909026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690906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320053120849926E-2"/>
          <c:y val="0"/>
          <c:w val="0.89999999999999991"/>
          <c:h val="0.132350987246926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13</xdr:row>
      <xdr:rowOff>68580</xdr:rowOff>
    </xdr:from>
    <xdr:to>
      <xdr:col>13</xdr:col>
      <xdr:colOff>167640</xdr:colOff>
      <xdr:row>35</xdr:row>
      <xdr:rowOff>60960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20B99ED-671E-460E-9C9C-384FDE51A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2</xdr:row>
      <xdr:rowOff>114300</xdr:rowOff>
    </xdr:from>
    <xdr:to>
      <xdr:col>13</xdr:col>
      <xdr:colOff>167640</xdr:colOff>
      <xdr:row>25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4648469-5DE6-4A25-B537-FA6C96997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579120</xdr:colOff>
      <xdr:row>26</xdr:row>
      <xdr:rowOff>137160</xdr:rowOff>
    </xdr:from>
    <xdr:to>
      <xdr:col>10</xdr:col>
      <xdr:colOff>22860</xdr:colOff>
      <xdr:row>42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EF6568B-43C9-4B18-8EF7-8508BB833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9</xdr:row>
      <xdr:rowOff>76200</xdr:rowOff>
    </xdr:from>
    <xdr:to>
      <xdr:col>11</xdr:col>
      <xdr:colOff>571500</xdr:colOff>
      <xdr:row>32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D9DF49E-B20B-453C-BE4E-3184E04F8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7393-AEB3-4B25-8830-7571F50031A2}">
  <dimension ref="A1:H62"/>
  <sheetViews>
    <sheetView tabSelected="1" workbookViewId="0">
      <selection activeCell="D13" sqref="D13"/>
    </sheetView>
  </sheetViews>
  <sheetFormatPr defaultRowHeight="13.8" x14ac:dyDescent="0.25"/>
  <sheetData>
    <row r="1" spans="1:8" x14ac:dyDescent="0.25">
      <c r="A1" t="s">
        <v>1</v>
      </c>
      <c r="B1" t="s">
        <v>3</v>
      </c>
      <c r="C1" t="s">
        <v>36</v>
      </c>
      <c r="E1" t="s">
        <v>0</v>
      </c>
      <c r="F1" t="s">
        <v>2</v>
      </c>
      <c r="G1" t="s">
        <v>35</v>
      </c>
    </row>
    <row r="2" spans="1:8" x14ac:dyDescent="0.25">
      <c r="A2">
        <v>0.46344901833892799</v>
      </c>
      <c r="B2">
        <v>0.60131216852488134</v>
      </c>
      <c r="C2" t="s">
        <v>38</v>
      </c>
      <c r="E2">
        <v>0.46344901833892799</v>
      </c>
      <c r="F2">
        <v>0.60131216852488134</v>
      </c>
      <c r="G2" t="s">
        <v>6</v>
      </c>
      <c r="H2" t="s">
        <v>6</v>
      </c>
    </row>
    <row r="3" spans="1:8" x14ac:dyDescent="0.25">
      <c r="A3">
        <v>0.1741708345303194</v>
      </c>
      <c r="B3">
        <v>0.10594285736218788</v>
      </c>
      <c r="C3" t="s">
        <v>25</v>
      </c>
      <c r="E3">
        <v>0.1741708345303194</v>
      </c>
      <c r="F3">
        <v>0.10594285736218788</v>
      </c>
      <c r="G3" t="s">
        <v>25</v>
      </c>
      <c r="H3" t="s">
        <v>9</v>
      </c>
    </row>
    <row r="4" spans="1:8" x14ac:dyDescent="0.25">
      <c r="A4">
        <v>5.9585099952812941E-4</v>
      </c>
      <c r="B4">
        <v>0.10252997528599363</v>
      </c>
      <c r="C4" t="s">
        <v>27</v>
      </c>
      <c r="E4">
        <v>5.9585099952812941E-4</v>
      </c>
      <c r="F4">
        <v>0.10252997528599363</v>
      </c>
      <c r="G4" t="s">
        <v>27</v>
      </c>
      <c r="H4" t="s">
        <v>25</v>
      </c>
    </row>
    <row r="5" spans="1:8" x14ac:dyDescent="0.25">
      <c r="A5">
        <v>6.2510416949478287E-2</v>
      </c>
      <c r="B5">
        <v>2.2651676457035898E-2</v>
      </c>
      <c r="C5" t="s">
        <v>13</v>
      </c>
      <c r="E5">
        <v>6.2510416949478287E-2</v>
      </c>
      <c r="F5">
        <v>2.2651676457035898E-2</v>
      </c>
      <c r="G5" t="s">
        <v>13</v>
      </c>
      <c r="H5" t="s">
        <v>7</v>
      </c>
    </row>
    <row r="6" spans="1:8" x14ac:dyDescent="0.25">
      <c r="A6">
        <v>4.0533801724166381E-2</v>
      </c>
      <c r="B6">
        <v>2.0085719029840042E-2</v>
      </c>
      <c r="C6" t="s">
        <v>12</v>
      </c>
      <c r="E6">
        <v>4.0533801724166381E-2</v>
      </c>
      <c r="F6">
        <v>2.0085719029840042E-2</v>
      </c>
      <c r="G6" t="s">
        <v>12</v>
      </c>
      <c r="H6" t="s">
        <v>8</v>
      </c>
    </row>
    <row r="7" spans="1:8" x14ac:dyDescent="0.25">
      <c r="A7">
        <v>9.9175422325905316E-3</v>
      </c>
      <c r="B7">
        <v>1.9624305689186806E-2</v>
      </c>
      <c r="C7" t="s">
        <v>15</v>
      </c>
      <c r="E7">
        <v>4.6598662577698804E-2</v>
      </c>
      <c r="F7">
        <v>4.6610776656408927E-3</v>
      </c>
      <c r="G7" t="s">
        <v>11</v>
      </c>
      <c r="H7" t="s">
        <v>37</v>
      </c>
    </row>
    <row r="8" spans="1:8" x14ac:dyDescent="0.25">
      <c r="A8">
        <v>1.1949913351117083E-2</v>
      </c>
      <c r="B8">
        <v>1.9196122065384822E-2</v>
      </c>
      <c r="C8" t="s">
        <v>26</v>
      </c>
      <c r="E8">
        <v>2.9768333296484883E-2</v>
      </c>
      <c r="F8">
        <v>1.7351383080978947E-2</v>
      </c>
      <c r="G8" t="s">
        <v>41</v>
      </c>
    </row>
    <row r="9" spans="1:8" x14ac:dyDescent="0.25">
      <c r="A9">
        <v>2.9768333296484883E-2</v>
      </c>
      <c r="B9">
        <v>1.7351383080978947E-2</v>
      </c>
      <c r="C9" t="s">
        <v>20</v>
      </c>
      <c r="E9">
        <f>1-SUM(E2:E8)</f>
        <v>0.18237308158339605</v>
      </c>
      <c r="F9">
        <f>1-SUM(F2:F8)</f>
        <v>0.12546514259344133</v>
      </c>
      <c r="G9" t="s">
        <v>37</v>
      </c>
    </row>
    <row r="10" spans="1:8" x14ac:dyDescent="0.25">
      <c r="A10">
        <v>8.6093537564461333E-3</v>
      </c>
      <c r="B10">
        <v>1.4769818554874701E-2</v>
      </c>
      <c r="C10" t="s">
        <v>18</v>
      </c>
    </row>
    <row r="11" spans="1:8" x14ac:dyDescent="0.25">
      <c r="A11">
        <v>1.4549181386777083E-3</v>
      </c>
      <c r="B11">
        <v>1.2933037472680067E-2</v>
      </c>
      <c r="C11" t="s">
        <v>16</v>
      </c>
    </row>
    <row r="12" spans="1:8" x14ac:dyDescent="0.25">
      <c r="A12">
        <v>1.1713685046604546E-2</v>
      </c>
      <c r="B12">
        <v>1.1856859099706532E-2</v>
      </c>
      <c r="C12" t="s">
        <v>9</v>
      </c>
    </row>
    <row r="13" spans="1:8" x14ac:dyDescent="0.25">
      <c r="A13">
        <v>1.0283610408628198E-3</v>
      </c>
      <c r="B13">
        <v>9.0170518267713821E-3</v>
      </c>
      <c r="C13" t="s">
        <v>7</v>
      </c>
    </row>
    <row r="14" spans="1:8" x14ac:dyDescent="0.25">
      <c r="A14">
        <v>2.5033570965885717E-2</v>
      </c>
      <c r="B14">
        <v>4.8307202805961758E-3</v>
      </c>
      <c r="C14" t="s">
        <v>30</v>
      </c>
    </row>
    <row r="15" spans="1:8" x14ac:dyDescent="0.25">
      <c r="A15">
        <v>4.6598662577698804E-2</v>
      </c>
      <c r="B15">
        <v>4.6610776656408927E-3</v>
      </c>
      <c r="C15" t="s">
        <v>11</v>
      </c>
    </row>
    <row r="16" spans="1:8" x14ac:dyDescent="0.25">
      <c r="A16">
        <v>2.3611545401615384E-4</v>
      </c>
      <c r="B16">
        <v>4.443277108267708E-3</v>
      </c>
      <c r="C16" t="s">
        <v>29</v>
      </c>
    </row>
    <row r="17" spans="1:3" x14ac:dyDescent="0.25">
      <c r="A17">
        <v>1.6996371197130359E-3</v>
      </c>
      <c r="B17">
        <v>3.7865143453226007E-3</v>
      </c>
      <c r="C17" t="s">
        <v>28</v>
      </c>
    </row>
    <row r="18" spans="1:3" x14ac:dyDescent="0.25">
      <c r="A18">
        <v>1.0285278557157869E-2</v>
      </c>
      <c r="B18">
        <v>3.5178008921974767E-3</v>
      </c>
      <c r="C18" t="s">
        <v>31</v>
      </c>
    </row>
    <row r="19" spans="1:3" x14ac:dyDescent="0.25">
      <c r="A19">
        <v>1.105608845001786E-2</v>
      </c>
      <c r="B19">
        <v>2.7661959247970327E-3</v>
      </c>
      <c r="C19" t="s">
        <v>24</v>
      </c>
    </row>
    <row r="20" spans="1:3" x14ac:dyDescent="0.25">
      <c r="A20">
        <v>1.9426397049087742E-2</v>
      </c>
      <c r="B20">
        <v>2.7632200447438816E-3</v>
      </c>
      <c r="C20" t="s">
        <v>19</v>
      </c>
    </row>
    <row r="21" spans="1:3" x14ac:dyDescent="0.25">
      <c r="A21">
        <v>1.6800385274066045E-2</v>
      </c>
      <c r="B21">
        <v>2.7028366645996098E-3</v>
      </c>
      <c r="C21" t="s">
        <v>8</v>
      </c>
    </row>
    <row r="22" spans="1:3" x14ac:dyDescent="0.25">
      <c r="A22">
        <v>1.0299119718900737E-4</v>
      </c>
      <c r="B22">
        <v>2.5902082572067955E-3</v>
      </c>
      <c r="C22" t="s">
        <v>34</v>
      </c>
    </row>
    <row r="23" spans="1:3" x14ac:dyDescent="0.25">
      <c r="A23">
        <v>5.3125463947594539E-3</v>
      </c>
      <c r="B23">
        <v>2.3019445551049353E-3</v>
      </c>
      <c r="C23" t="s">
        <v>33</v>
      </c>
    </row>
    <row r="24" spans="1:3" x14ac:dyDescent="0.25">
      <c r="A24">
        <v>7.9725244533642679E-3</v>
      </c>
      <c r="B24">
        <v>1.673213173045904E-3</v>
      </c>
      <c r="C24" t="s">
        <v>10</v>
      </c>
    </row>
    <row r="25" spans="1:3" x14ac:dyDescent="0.25">
      <c r="A25">
        <v>7.7933048152958274E-3</v>
      </c>
      <c r="B25">
        <v>1.549838864211336E-3</v>
      </c>
      <c r="C25" t="s">
        <v>22</v>
      </c>
    </row>
    <row r="26" spans="1:3" x14ac:dyDescent="0.25">
      <c r="A26">
        <v>2.3651132264987019E-4</v>
      </c>
      <c r="B26">
        <v>1.4861978158639229E-3</v>
      </c>
      <c r="C26" t="s">
        <v>17</v>
      </c>
    </row>
    <row r="27" spans="1:3" x14ac:dyDescent="0.25">
      <c r="A27">
        <v>3.3386448416712362E-3</v>
      </c>
      <c r="B27">
        <v>1.3203302593416024E-3</v>
      </c>
      <c r="C27" t="s">
        <v>32</v>
      </c>
    </row>
    <row r="28" spans="1:3" x14ac:dyDescent="0.25">
      <c r="A28">
        <v>2.8007592899885445E-2</v>
      </c>
      <c r="B28">
        <v>1.2046852765779999E-3</v>
      </c>
      <c r="C28" t="s">
        <v>21</v>
      </c>
    </row>
    <row r="29" spans="1:3" x14ac:dyDescent="0.25">
      <c r="A29">
        <v>6.4175401565141194E-5</v>
      </c>
      <c r="B29">
        <v>1.073067253463346E-3</v>
      </c>
      <c r="C29" t="s">
        <v>14</v>
      </c>
    </row>
    <row r="30" spans="1:3" x14ac:dyDescent="0.25">
      <c r="A30">
        <v>3.335438207728916E-4</v>
      </c>
      <c r="B30">
        <v>5.7897169496762056E-5</v>
      </c>
      <c r="C30" t="s">
        <v>23</v>
      </c>
    </row>
    <row r="32" spans="1:3" ht="12.6" customHeight="1" x14ac:dyDescent="0.25"/>
    <row r="34" spans="3:4" x14ac:dyDescent="0.25">
      <c r="C34" t="s">
        <v>6</v>
      </c>
      <c r="D34" t="s">
        <v>6</v>
      </c>
    </row>
    <row r="35" spans="3:4" x14ac:dyDescent="0.25">
      <c r="C35" t="s">
        <v>25</v>
      </c>
      <c r="D35" t="s">
        <v>25</v>
      </c>
    </row>
    <row r="36" spans="3:4" x14ac:dyDescent="0.25">
      <c r="C36" t="s">
        <v>13</v>
      </c>
      <c r="D36" t="s">
        <v>27</v>
      </c>
    </row>
    <row r="37" spans="3:4" x14ac:dyDescent="0.25">
      <c r="C37" t="s">
        <v>11</v>
      </c>
      <c r="D37" t="s">
        <v>13</v>
      </c>
    </row>
    <row r="38" spans="3:4" x14ac:dyDescent="0.25">
      <c r="C38" t="s">
        <v>12</v>
      </c>
      <c r="D38" t="s">
        <v>12</v>
      </c>
    </row>
    <row r="39" spans="3:4" x14ac:dyDescent="0.25">
      <c r="C39" t="s">
        <v>20</v>
      </c>
      <c r="D39" t="s">
        <v>15</v>
      </c>
    </row>
    <row r="40" spans="3:4" x14ac:dyDescent="0.25">
      <c r="C40" t="s">
        <v>21</v>
      </c>
      <c r="D40" t="s">
        <v>26</v>
      </c>
    </row>
    <row r="41" spans="3:4" x14ac:dyDescent="0.25">
      <c r="C41" t="s">
        <v>30</v>
      </c>
      <c r="D41" t="s">
        <v>20</v>
      </c>
    </row>
    <row r="42" spans="3:4" x14ac:dyDescent="0.25">
      <c r="C42" t="s">
        <v>19</v>
      </c>
      <c r="D42" t="s">
        <v>18</v>
      </c>
    </row>
    <row r="43" spans="3:4" x14ac:dyDescent="0.25">
      <c r="C43" t="s">
        <v>8</v>
      </c>
      <c r="D43" t="s">
        <v>16</v>
      </c>
    </row>
    <row r="44" spans="3:4" x14ac:dyDescent="0.25">
      <c r="C44" t="s">
        <v>26</v>
      </c>
      <c r="D44" t="s">
        <v>9</v>
      </c>
    </row>
    <row r="45" spans="3:4" x14ac:dyDescent="0.25">
      <c r="C45" t="s">
        <v>9</v>
      </c>
      <c r="D45" t="s">
        <v>7</v>
      </c>
    </row>
    <row r="46" spans="3:4" x14ac:dyDescent="0.25">
      <c r="C46" t="s">
        <v>24</v>
      </c>
      <c r="D46" t="s">
        <v>30</v>
      </c>
    </row>
    <row r="47" spans="3:4" x14ac:dyDescent="0.25">
      <c r="C47" t="s">
        <v>31</v>
      </c>
      <c r="D47" t="s">
        <v>11</v>
      </c>
    </row>
    <row r="48" spans="3:4" x14ac:dyDescent="0.25">
      <c r="C48" t="s">
        <v>15</v>
      </c>
      <c r="D48" t="s">
        <v>29</v>
      </c>
    </row>
    <row r="49" spans="3:4" x14ac:dyDescent="0.25">
      <c r="C49" t="s">
        <v>18</v>
      </c>
      <c r="D49" t="s">
        <v>28</v>
      </c>
    </row>
    <row r="50" spans="3:4" x14ac:dyDescent="0.25">
      <c r="C50" t="s">
        <v>10</v>
      </c>
      <c r="D50" t="s">
        <v>31</v>
      </c>
    </row>
    <row r="51" spans="3:4" x14ac:dyDescent="0.25">
      <c r="C51" t="s">
        <v>22</v>
      </c>
      <c r="D51" t="s">
        <v>24</v>
      </c>
    </row>
    <row r="52" spans="3:4" x14ac:dyDescent="0.25">
      <c r="C52" t="s">
        <v>33</v>
      </c>
      <c r="D52" t="s">
        <v>19</v>
      </c>
    </row>
    <row r="53" spans="3:4" x14ac:dyDescent="0.25">
      <c r="C53" t="s">
        <v>32</v>
      </c>
      <c r="D53" t="s">
        <v>8</v>
      </c>
    </row>
    <row r="54" spans="3:4" x14ac:dyDescent="0.25">
      <c r="C54" t="s">
        <v>28</v>
      </c>
      <c r="D54" t="s">
        <v>34</v>
      </c>
    </row>
    <row r="55" spans="3:4" x14ac:dyDescent="0.25">
      <c r="C55" t="s">
        <v>16</v>
      </c>
      <c r="D55" t="s">
        <v>33</v>
      </c>
    </row>
    <row r="56" spans="3:4" x14ac:dyDescent="0.25">
      <c r="C56" t="s">
        <v>7</v>
      </c>
      <c r="D56" t="s">
        <v>10</v>
      </c>
    </row>
    <row r="57" spans="3:4" x14ac:dyDescent="0.25">
      <c r="C57" t="s">
        <v>27</v>
      </c>
      <c r="D57" t="s">
        <v>22</v>
      </c>
    </row>
    <row r="58" spans="3:4" x14ac:dyDescent="0.25">
      <c r="C58" t="s">
        <v>23</v>
      </c>
      <c r="D58" t="s">
        <v>17</v>
      </c>
    </row>
    <row r="59" spans="3:4" x14ac:dyDescent="0.25">
      <c r="C59" t="s">
        <v>17</v>
      </c>
      <c r="D59" t="s">
        <v>32</v>
      </c>
    </row>
    <row r="60" spans="3:4" x14ac:dyDescent="0.25">
      <c r="C60" t="s">
        <v>29</v>
      </c>
      <c r="D60" t="s">
        <v>21</v>
      </c>
    </row>
    <row r="61" spans="3:4" x14ac:dyDescent="0.25">
      <c r="C61" t="s">
        <v>34</v>
      </c>
      <c r="D61" t="s">
        <v>14</v>
      </c>
    </row>
    <row r="62" spans="3:4" x14ac:dyDescent="0.25">
      <c r="C62" t="s">
        <v>14</v>
      </c>
      <c r="D62" t="s">
        <v>23</v>
      </c>
    </row>
  </sheetData>
  <sortState xmlns:xlrd2="http://schemas.microsoft.com/office/spreadsheetml/2017/richdata2" ref="A2:C30">
    <sortCondition descending="1" ref="B2:B30"/>
  </sortState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3030-2255-437F-BF18-813D0870D855}">
  <dimension ref="A1:E13"/>
  <sheetViews>
    <sheetView workbookViewId="0">
      <selection activeCell="A31" sqref="A31"/>
    </sheetView>
  </sheetViews>
  <sheetFormatPr defaultRowHeight="13.8" x14ac:dyDescent="0.25"/>
  <sheetData>
    <row r="1" spans="1:5" x14ac:dyDescent="0.25">
      <c r="A1" t="s">
        <v>43</v>
      </c>
      <c r="B1" t="s">
        <v>42</v>
      </c>
      <c r="C1" t="s">
        <v>39</v>
      </c>
      <c r="D1" t="s">
        <v>40</v>
      </c>
      <c r="E1" t="s">
        <v>35</v>
      </c>
    </row>
    <row r="2" spans="1:5" x14ac:dyDescent="0.25">
      <c r="A2">
        <v>0.46344901833892799</v>
      </c>
      <c r="B2">
        <v>0.60131216852488134</v>
      </c>
      <c r="C2">
        <v>0.80284421460892053</v>
      </c>
      <c r="D2">
        <v>0.62015133955961566</v>
      </c>
      <c r="E2" t="s">
        <v>6</v>
      </c>
    </row>
    <row r="3" spans="1:5" x14ac:dyDescent="0.25">
      <c r="A3">
        <v>0.1741708345303194</v>
      </c>
      <c r="B3">
        <v>0.10594285736218788</v>
      </c>
      <c r="C3">
        <v>2.4563671622495151E-2</v>
      </c>
      <c r="D3">
        <v>5.0310177926239014E-2</v>
      </c>
      <c r="E3" t="s">
        <v>25</v>
      </c>
    </row>
    <row r="4" spans="1:5" x14ac:dyDescent="0.25">
      <c r="A4">
        <v>5.9585099952812941E-4</v>
      </c>
      <c r="B4">
        <v>0.10252997528599363</v>
      </c>
      <c r="C4">
        <v>0</v>
      </c>
      <c r="D4">
        <v>6.8170972799781856E-4</v>
      </c>
      <c r="E4" t="s">
        <v>27</v>
      </c>
    </row>
    <row r="5" spans="1:5" x14ac:dyDescent="0.25">
      <c r="A5">
        <v>6.2510416949478287E-2</v>
      </c>
      <c r="B5">
        <v>2.2651676457035898E-2</v>
      </c>
      <c r="C5">
        <v>2.6179702650290886E-2</v>
      </c>
      <c r="D5">
        <v>1.3566023587156589E-2</v>
      </c>
      <c r="E5" t="s">
        <v>13</v>
      </c>
    </row>
    <row r="6" spans="1:5" x14ac:dyDescent="0.25">
      <c r="A6">
        <v>4.0533801724166381E-2</v>
      </c>
      <c r="B6">
        <v>2.0085719029840042E-2</v>
      </c>
      <c r="C6">
        <v>2.9088558500323207E-3</v>
      </c>
      <c r="D6">
        <v>6.8852682527779678E-3</v>
      </c>
      <c r="E6" t="s">
        <v>12</v>
      </c>
    </row>
    <row r="7" spans="1:5" x14ac:dyDescent="0.25">
      <c r="A7">
        <v>4.6598662577698804E-2</v>
      </c>
      <c r="B7">
        <v>4.6610776656408927E-3</v>
      </c>
      <c r="C7">
        <v>9.6961861667744023E-4</v>
      </c>
      <c r="D7">
        <v>4.0902583679869114E-4</v>
      </c>
      <c r="E7" t="s">
        <v>11</v>
      </c>
    </row>
    <row r="8" spans="1:5" x14ac:dyDescent="0.25">
      <c r="A8">
        <v>2.9768333296484883E-2</v>
      </c>
      <c r="B8">
        <v>1.7351383080978947E-2</v>
      </c>
      <c r="C8">
        <v>3.5552682611506145E-3</v>
      </c>
      <c r="D8">
        <v>1.1929920239961825E-2</v>
      </c>
      <c r="E8" t="s">
        <v>41</v>
      </c>
    </row>
    <row r="9" spans="1:5" x14ac:dyDescent="0.25">
      <c r="A9">
        <v>1.1713685046604546E-2</v>
      </c>
      <c r="B9">
        <v>1.1856859099706532E-2</v>
      </c>
      <c r="C9">
        <v>3.4259857789269557E-2</v>
      </c>
      <c r="D9">
        <v>0.14050037494035042</v>
      </c>
      <c r="E9" t="s">
        <v>9</v>
      </c>
    </row>
    <row r="10" spans="1:5" x14ac:dyDescent="0.25">
      <c r="A10">
        <v>1.6800385274066045E-2</v>
      </c>
      <c r="B10">
        <v>2.7028366645996098E-3</v>
      </c>
      <c r="C10">
        <v>8.0801551389786692E-3</v>
      </c>
      <c r="D10">
        <v>2.4814234099120595E-2</v>
      </c>
      <c r="E10" t="s">
        <v>8</v>
      </c>
    </row>
    <row r="11" spans="1:5" x14ac:dyDescent="0.25">
      <c r="A11">
        <f>1-SUM(A2:A10)</f>
        <v>0.1538590112627255</v>
      </c>
      <c r="B11">
        <f>1-SUM(B2:B10)</f>
        <v>0.11090544682913517</v>
      </c>
      <c r="C11">
        <f>1-SUM(C2:C10)</f>
        <v>9.6638655462184864E-2</v>
      </c>
      <c r="D11">
        <f>1-SUM(D2:D10)</f>
        <v>0.13075192582998119</v>
      </c>
      <c r="E11" t="s">
        <v>37</v>
      </c>
    </row>
    <row r="13" spans="1:5" x14ac:dyDescent="0.25">
      <c r="A13">
        <v>16.251755230000001</v>
      </c>
      <c r="B13">
        <v>1273.7034920000001</v>
      </c>
      <c r="C13">
        <v>309.39999999999998</v>
      </c>
      <c r="D13">
        <v>1466.9</v>
      </c>
      <c r="E13" t="s">
        <v>44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1969-E46D-480C-9D38-AEF23ACFA13B}">
  <dimension ref="A1:L60"/>
  <sheetViews>
    <sheetView workbookViewId="0">
      <selection activeCell="J2" sqref="J2:K6"/>
    </sheetView>
  </sheetViews>
  <sheetFormatPr defaultRowHeight="13.8" x14ac:dyDescent="0.25"/>
  <sheetData>
    <row r="1" spans="1:12" x14ac:dyDescent="0.25">
      <c r="A1" t="s">
        <v>4</v>
      </c>
      <c r="B1" t="s">
        <v>5</v>
      </c>
      <c r="C1" t="s">
        <v>36</v>
      </c>
      <c r="F1" t="s">
        <v>39</v>
      </c>
      <c r="G1" t="s">
        <v>40</v>
      </c>
      <c r="H1" t="s">
        <v>36</v>
      </c>
    </row>
    <row r="2" spans="1:12" x14ac:dyDescent="0.25">
      <c r="A2">
        <v>0.80284421460892053</v>
      </c>
      <c r="B2">
        <v>0.62015133955961566</v>
      </c>
      <c r="C2" t="s">
        <v>6</v>
      </c>
      <c r="F2">
        <v>0.80284421460892053</v>
      </c>
      <c r="G2">
        <v>0.62015133955961566</v>
      </c>
      <c r="H2" t="s">
        <v>6</v>
      </c>
      <c r="I2" t="s">
        <v>27</v>
      </c>
      <c r="J2">
        <v>0</v>
      </c>
      <c r="K2">
        <v>6.8170972799781856E-4</v>
      </c>
      <c r="L2" t="s">
        <v>27</v>
      </c>
    </row>
    <row r="3" spans="1:12" x14ac:dyDescent="0.25">
      <c r="A3">
        <v>3.4259857789269557E-2</v>
      </c>
      <c r="B3">
        <v>0.14050037494035042</v>
      </c>
      <c r="C3" t="s">
        <v>9</v>
      </c>
      <c r="F3">
        <v>3.4259857789269557E-2</v>
      </c>
      <c r="G3">
        <v>0.14050037494035042</v>
      </c>
      <c r="H3" t="s">
        <v>9</v>
      </c>
      <c r="I3" t="s">
        <v>13</v>
      </c>
      <c r="J3">
        <v>2.6179702650290886E-2</v>
      </c>
      <c r="K3">
        <v>1.3566023587156589E-2</v>
      </c>
      <c r="L3" t="s">
        <v>13</v>
      </c>
    </row>
    <row r="4" spans="1:12" x14ac:dyDescent="0.25">
      <c r="A4">
        <v>2.4563671622495151E-2</v>
      </c>
      <c r="B4">
        <v>5.0310177926239014E-2</v>
      </c>
      <c r="C4" t="s">
        <v>25</v>
      </c>
      <c r="F4">
        <v>2.4563671622495151E-2</v>
      </c>
      <c r="G4">
        <v>5.0310177926239014E-2</v>
      </c>
      <c r="H4" t="s">
        <v>25</v>
      </c>
      <c r="I4" t="s">
        <v>12</v>
      </c>
      <c r="J4">
        <v>2.9088558500323207E-3</v>
      </c>
      <c r="K4">
        <v>6.8852682527779678E-3</v>
      </c>
      <c r="L4" t="s">
        <v>12</v>
      </c>
    </row>
    <row r="5" spans="1:12" x14ac:dyDescent="0.25">
      <c r="A5">
        <v>1.1312217194570137E-2</v>
      </c>
      <c r="B5">
        <v>4.185697729906606E-2</v>
      </c>
      <c r="C5" t="s">
        <v>7</v>
      </c>
      <c r="F5">
        <v>1.1312217194570137E-2</v>
      </c>
      <c r="G5">
        <v>4.185697729906606E-2</v>
      </c>
      <c r="H5" t="s">
        <v>7</v>
      </c>
      <c r="I5" t="s">
        <v>11</v>
      </c>
      <c r="J5">
        <v>9.6961861667744023E-4</v>
      </c>
      <c r="K5">
        <v>4.0902583679869114E-4</v>
      </c>
      <c r="L5" t="s">
        <v>11</v>
      </c>
    </row>
    <row r="6" spans="1:12" x14ac:dyDescent="0.25">
      <c r="A6">
        <v>8.0801551389786692E-3</v>
      </c>
      <c r="B6">
        <v>2.4814234099120595E-2</v>
      </c>
      <c r="C6" t="s">
        <v>8</v>
      </c>
      <c r="F6">
        <v>8.0801551389786692E-3</v>
      </c>
      <c r="G6">
        <v>2.4814234099120595E-2</v>
      </c>
      <c r="H6" t="s">
        <v>8</v>
      </c>
      <c r="I6" t="s">
        <v>41</v>
      </c>
      <c r="J6">
        <v>3.5552682611506145E-3</v>
      </c>
      <c r="K6">
        <v>1.1929920239961825E-2</v>
      </c>
      <c r="L6" t="s">
        <v>20</v>
      </c>
    </row>
    <row r="7" spans="1:12" x14ac:dyDescent="0.25">
      <c r="A7">
        <v>3.2320620555914676E-3</v>
      </c>
      <c r="B7">
        <v>1.6020178607948736E-2</v>
      </c>
      <c r="C7" t="s">
        <v>19</v>
      </c>
      <c r="F7">
        <f>1-SUM(F2:F6)</f>
        <v>0.11893988364576602</v>
      </c>
      <c r="G7">
        <f>1-SUM(G2:G6)</f>
        <v>0.12236689617560825</v>
      </c>
      <c r="H7" t="s">
        <v>37</v>
      </c>
    </row>
    <row r="8" spans="1:12" x14ac:dyDescent="0.25">
      <c r="A8">
        <v>2.6179702650290886E-2</v>
      </c>
      <c r="B8">
        <v>1.3566023587156589E-2</v>
      </c>
      <c r="C8" t="s">
        <v>13</v>
      </c>
    </row>
    <row r="9" spans="1:12" x14ac:dyDescent="0.25">
      <c r="A9">
        <v>9.372979961215255E-3</v>
      </c>
      <c r="B9">
        <v>1.3566023587156589E-2</v>
      </c>
      <c r="C9" t="s">
        <v>21</v>
      </c>
    </row>
    <row r="10" spans="1:12" x14ac:dyDescent="0.25">
      <c r="A10">
        <v>3.5552682611506145E-3</v>
      </c>
      <c r="B10">
        <v>1.1929920239961825E-2</v>
      </c>
      <c r="C10" t="s">
        <v>20</v>
      </c>
    </row>
    <row r="11" spans="1:12" x14ac:dyDescent="0.25">
      <c r="A11">
        <v>1.1312217194570137E-2</v>
      </c>
      <c r="B11">
        <v>9.2030813279705501E-3</v>
      </c>
      <c r="C11" t="s">
        <v>14</v>
      </c>
    </row>
    <row r="12" spans="1:12" x14ac:dyDescent="0.25">
      <c r="A12">
        <v>1.6160310277957338E-3</v>
      </c>
      <c r="B12">
        <v>9.066739382370988E-3</v>
      </c>
      <c r="C12" t="s">
        <v>26</v>
      </c>
    </row>
    <row r="13" spans="1:12" x14ac:dyDescent="0.25">
      <c r="A13">
        <v>2.5856496444731742E-3</v>
      </c>
      <c r="B13">
        <v>8.7258845183720776E-3</v>
      </c>
      <c r="C13" t="s">
        <v>18</v>
      </c>
    </row>
    <row r="14" spans="1:12" x14ac:dyDescent="0.25">
      <c r="A14">
        <v>1.4221073044602458E-2</v>
      </c>
      <c r="B14">
        <v>7.4988070079760041E-3</v>
      </c>
      <c r="C14" t="s">
        <v>15</v>
      </c>
    </row>
    <row r="15" spans="1:12" x14ac:dyDescent="0.25">
      <c r="A15">
        <v>2.9088558500323207E-3</v>
      </c>
      <c r="B15">
        <v>6.8852682527779678E-3</v>
      </c>
      <c r="C15" t="s">
        <v>12</v>
      </c>
    </row>
    <row r="16" spans="1:12" x14ac:dyDescent="0.25">
      <c r="A16">
        <v>2.9088558500323207E-3</v>
      </c>
      <c r="B16">
        <v>6.0672165791805857E-3</v>
      </c>
      <c r="C16" t="s">
        <v>33</v>
      </c>
    </row>
    <row r="17" spans="1:5" x14ac:dyDescent="0.25">
      <c r="A17">
        <v>9.6961861667744023E-3</v>
      </c>
      <c r="B17">
        <v>5.4536778239825485E-3</v>
      </c>
      <c r="C17" t="s">
        <v>16</v>
      </c>
    </row>
    <row r="18" spans="1:5" x14ac:dyDescent="0.25">
      <c r="A18">
        <v>9.6961861667744023E-3</v>
      </c>
      <c r="B18">
        <v>4.0220873951871301E-3</v>
      </c>
      <c r="C18" t="s">
        <v>10</v>
      </c>
    </row>
    <row r="19" spans="1:5" x14ac:dyDescent="0.25">
      <c r="A19">
        <v>9.6961861667744023E-3</v>
      </c>
      <c r="B19">
        <v>4.0220873951871301E-3</v>
      </c>
      <c r="C19" t="s">
        <v>22</v>
      </c>
    </row>
    <row r="20" spans="1:5" x14ac:dyDescent="0.25">
      <c r="A20">
        <v>4.5248868778280547E-3</v>
      </c>
      <c r="B20">
        <v>2.3178130751925832E-3</v>
      </c>
      <c r="C20" t="s">
        <v>30</v>
      </c>
    </row>
    <row r="21" spans="1:5" x14ac:dyDescent="0.25">
      <c r="A21">
        <v>1.6160310277957338E-3</v>
      </c>
      <c r="B21">
        <v>8.8622264639716419E-4</v>
      </c>
      <c r="C21" t="s">
        <v>28</v>
      </c>
    </row>
    <row r="22" spans="1:5" x14ac:dyDescent="0.25">
      <c r="A22">
        <v>0</v>
      </c>
      <c r="B22">
        <v>6.8170972799781856E-4</v>
      </c>
      <c r="C22" t="s">
        <v>24</v>
      </c>
    </row>
    <row r="23" spans="1:5" x14ac:dyDescent="0.25">
      <c r="A23">
        <v>0</v>
      </c>
      <c r="B23">
        <v>6.8170972799781856E-4</v>
      </c>
      <c r="C23" t="s">
        <v>27</v>
      </c>
    </row>
    <row r="24" spans="1:5" x14ac:dyDescent="0.25">
      <c r="A24">
        <v>2.5856496444731742E-3</v>
      </c>
      <c r="B24">
        <v>6.1353875519803676E-4</v>
      </c>
      <c r="C24" t="s">
        <v>31</v>
      </c>
    </row>
    <row r="25" spans="1:5" x14ac:dyDescent="0.25">
      <c r="A25">
        <v>2.2624434389140274E-3</v>
      </c>
      <c r="B25">
        <v>4.77196809598473E-4</v>
      </c>
      <c r="C25" t="s">
        <v>32</v>
      </c>
    </row>
    <row r="26" spans="1:5" x14ac:dyDescent="0.25">
      <c r="A26">
        <v>9.6961861667744023E-4</v>
      </c>
      <c r="B26">
        <v>4.0902583679869114E-4</v>
      </c>
      <c r="C26" t="s">
        <v>11</v>
      </c>
    </row>
    <row r="27" spans="1:5" x14ac:dyDescent="0.25">
      <c r="A27">
        <v>0</v>
      </c>
      <c r="B27">
        <v>6.8170972799781856E-5</v>
      </c>
      <c r="C27" t="s">
        <v>17</v>
      </c>
    </row>
    <row r="28" spans="1:5" x14ac:dyDescent="0.25">
      <c r="A28">
        <v>0</v>
      </c>
      <c r="B28">
        <v>6.8170972799781856E-5</v>
      </c>
      <c r="C28" t="s">
        <v>23</v>
      </c>
    </row>
    <row r="29" spans="1:5" x14ac:dyDescent="0.25">
      <c r="A29">
        <v>0</v>
      </c>
      <c r="B29">
        <v>6.8170972799781856E-5</v>
      </c>
      <c r="C29" t="s">
        <v>29</v>
      </c>
    </row>
    <row r="30" spans="1:5" x14ac:dyDescent="0.25">
      <c r="A30">
        <v>0</v>
      </c>
      <c r="B30">
        <v>6.8170972799781856E-5</v>
      </c>
      <c r="C30" t="s">
        <v>34</v>
      </c>
    </row>
    <row r="32" spans="1:5" x14ac:dyDescent="0.25">
      <c r="D32" t="s">
        <v>6</v>
      </c>
      <c r="E32" t="s">
        <v>6</v>
      </c>
    </row>
    <row r="33" spans="4:5" x14ac:dyDescent="0.25">
      <c r="D33" t="s">
        <v>9</v>
      </c>
      <c r="E33" t="s">
        <v>9</v>
      </c>
    </row>
    <row r="34" spans="4:5" x14ac:dyDescent="0.25">
      <c r="D34" t="s">
        <v>25</v>
      </c>
      <c r="E34" t="s">
        <v>13</v>
      </c>
    </row>
    <row r="35" spans="4:5" x14ac:dyDescent="0.25">
      <c r="D35" t="s">
        <v>7</v>
      </c>
      <c r="E35" t="s">
        <v>25</v>
      </c>
    </row>
    <row r="36" spans="4:5" x14ac:dyDescent="0.25">
      <c r="D36" t="s">
        <v>8</v>
      </c>
      <c r="E36" t="s">
        <v>15</v>
      </c>
    </row>
    <row r="37" spans="4:5" x14ac:dyDescent="0.25">
      <c r="D37" t="s">
        <v>19</v>
      </c>
      <c r="E37" t="s">
        <v>7</v>
      </c>
    </row>
    <row r="38" spans="4:5" x14ac:dyDescent="0.25">
      <c r="D38" t="s">
        <v>13</v>
      </c>
      <c r="E38" t="s">
        <v>14</v>
      </c>
    </row>
    <row r="39" spans="4:5" x14ac:dyDescent="0.25">
      <c r="D39" t="s">
        <v>21</v>
      </c>
      <c r="E39" t="s">
        <v>16</v>
      </c>
    </row>
    <row r="40" spans="4:5" x14ac:dyDescent="0.25">
      <c r="D40" t="s">
        <v>20</v>
      </c>
      <c r="E40" t="s">
        <v>10</v>
      </c>
    </row>
    <row r="41" spans="4:5" x14ac:dyDescent="0.25">
      <c r="D41" t="s">
        <v>14</v>
      </c>
      <c r="E41" t="s">
        <v>22</v>
      </c>
    </row>
    <row r="42" spans="4:5" x14ac:dyDescent="0.25">
      <c r="D42" t="s">
        <v>26</v>
      </c>
      <c r="E42" t="s">
        <v>21</v>
      </c>
    </row>
    <row r="43" spans="4:5" x14ac:dyDescent="0.25">
      <c r="D43" t="s">
        <v>18</v>
      </c>
      <c r="E43" t="s">
        <v>8</v>
      </c>
    </row>
    <row r="44" spans="4:5" x14ac:dyDescent="0.25">
      <c r="D44" t="s">
        <v>15</v>
      </c>
      <c r="E44" t="s">
        <v>30</v>
      </c>
    </row>
    <row r="45" spans="4:5" x14ac:dyDescent="0.25">
      <c r="D45" t="s">
        <v>12</v>
      </c>
      <c r="E45" t="s">
        <v>20</v>
      </c>
    </row>
    <row r="46" spans="4:5" x14ac:dyDescent="0.25">
      <c r="D46" t="s">
        <v>33</v>
      </c>
      <c r="E46" t="s">
        <v>19</v>
      </c>
    </row>
    <row r="47" spans="4:5" x14ac:dyDescent="0.25">
      <c r="D47" t="s">
        <v>16</v>
      </c>
      <c r="E47" t="s">
        <v>12</v>
      </c>
    </row>
    <row r="48" spans="4:5" x14ac:dyDescent="0.25">
      <c r="D48" t="s">
        <v>10</v>
      </c>
      <c r="E48" t="s">
        <v>33</v>
      </c>
    </row>
    <row r="49" spans="4:5" x14ac:dyDescent="0.25">
      <c r="D49" t="s">
        <v>22</v>
      </c>
      <c r="E49" t="s">
        <v>18</v>
      </c>
    </row>
    <row r="50" spans="4:5" x14ac:dyDescent="0.25">
      <c r="D50" t="s">
        <v>30</v>
      </c>
      <c r="E50" t="s">
        <v>31</v>
      </c>
    </row>
    <row r="51" spans="4:5" x14ac:dyDescent="0.25">
      <c r="D51" t="s">
        <v>28</v>
      </c>
      <c r="E51" t="s">
        <v>32</v>
      </c>
    </row>
    <row r="52" spans="4:5" x14ac:dyDescent="0.25">
      <c r="D52" t="s">
        <v>24</v>
      </c>
      <c r="E52" t="s">
        <v>26</v>
      </c>
    </row>
    <row r="53" spans="4:5" x14ac:dyDescent="0.25">
      <c r="D53" t="s">
        <v>27</v>
      </c>
      <c r="E53" t="s">
        <v>28</v>
      </c>
    </row>
    <row r="54" spans="4:5" x14ac:dyDescent="0.25">
      <c r="D54" t="s">
        <v>31</v>
      </c>
      <c r="E54" t="s">
        <v>11</v>
      </c>
    </row>
    <row r="55" spans="4:5" x14ac:dyDescent="0.25">
      <c r="D55" t="s">
        <v>32</v>
      </c>
      <c r="E55" t="s">
        <v>24</v>
      </c>
    </row>
    <row r="56" spans="4:5" x14ac:dyDescent="0.25">
      <c r="D56" t="s">
        <v>11</v>
      </c>
      <c r="E56" t="s">
        <v>27</v>
      </c>
    </row>
    <row r="57" spans="4:5" x14ac:dyDescent="0.25">
      <c r="D57" t="s">
        <v>17</v>
      </c>
      <c r="E57" t="s">
        <v>17</v>
      </c>
    </row>
    <row r="58" spans="4:5" x14ac:dyDescent="0.25">
      <c r="D58" t="s">
        <v>23</v>
      </c>
      <c r="E58" t="s">
        <v>23</v>
      </c>
    </row>
    <row r="59" spans="4:5" x14ac:dyDescent="0.25">
      <c r="D59" t="s">
        <v>29</v>
      </c>
      <c r="E59" t="s">
        <v>29</v>
      </c>
    </row>
    <row r="60" spans="4:5" x14ac:dyDescent="0.25">
      <c r="D60" t="s">
        <v>34</v>
      </c>
      <c r="E60" t="s">
        <v>34</v>
      </c>
    </row>
  </sheetData>
  <sortState xmlns:xlrd2="http://schemas.microsoft.com/office/spreadsheetml/2017/richdata2" ref="A2:C30">
    <sortCondition descending="1" ref="B2:B30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qingbin yuan</dc:creator>
  <cp:lastModifiedBy>qingbin yuan</cp:lastModifiedBy>
  <dcterms:created xsi:type="dcterms:W3CDTF">2024-08-16T05:54:31Z</dcterms:created>
  <dcterms:modified xsi:type="dcterms:W3CDTF">2024-08-16T08:59:51Z</dcterms:modified>
</cp:coreProperties>
</file>